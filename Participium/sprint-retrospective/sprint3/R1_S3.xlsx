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1_S3(6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<sst xmlns="http://schemas.openxmlformats.org/spreadsheetml/2006/main" count="175" uniqueCount="93">
  <si>
    <t xml:space="preserve">Group name</t>
  </si>
  <si>
    <t xml:space="preserve">Item</t>
  </si>
  <si>
    <t xml:space="preserve">Item Summary</t>
  </si>
  <si>
    <t xml:space="preserve">Estimation time</t>
  </si>
  <si>
    <t xml:space="preserve">Spent time</t>
  </si>
  <si>
    <t xml:space="preserve">Abs Err</t>
  </si>
  <si>
    <t xml:space="preserve">-</t>
  </si>
  <si>
    <t xml:space="preserve">PAR-128</t>
  </si>
  <si>
    <t xml:space="preserve">Github issue: Street Name in report creation</t>
  </si>
  <si>
    <t xml:space="preserve">PAR-129</t>
  </si>
  <si>
    <t xml:space="preserve">Github issue: Better manage of Map borders</t>
  </si>
  <si>
    <t xml:space="preserve">PAR-130</t>
  </si>
  <si>
    <t xml:space="preserve">Github issue: Change the modification layout (no an entire page)</t>
  </si>
  <si>
    <t xml:space="preserve">PAR-131</t>
  </si>
  <si>
    <t xml:space="preserve">Sprint Planning</t>
  </si>
  <si>
    <t xml:space="preserve">PAR-132</t>
  </si>
  <si>
    <t xml:space="preserve">Github issue: Remove button from navbar if not logged in</t>
  </si>
  <si>
    <t xml:space="preserve">PAR-133</t>
  </si>
  <si>
    <t xml:space="preserve">Github issue: Reports filtering</t>
  </si>
  <si>
    <t xml:space="preserve">PAR-134</t>
  </si>
  <si>
    <t xml:space="preserve">Scrum Meeting 1</t>
  </si>
  <si>
    <t xml:space="preserve">PAR-135</t>
  </si>
  <si>
    <t xml:space="preserve">Scrum Meeting 2</t>
  </si>
  <si>
    <t xml:space="preserve">PAR-136</t>
  </si>
  <si>
    <t xml:space="preserve">Scrum Meeting 3</t>
  </si>
  <si>
    <t xml:space="preserve">PAR-137</t>
  </si>
  <si>
    <t xml:space="preserve">Scrum Meeting 4</t>
  </si>
  <si>
    <t xml:space="preserve">PAR-138</t>
  </si>
  <si>
    <t xml:space="preserve">Code Merge</t>
  </si>
  <si>
    <t xml:space="preserve">PAR-139</t>
  </si>
  <si>
    <t xml:space="preserve">Update OpenAPI Documentation</t>
  </si>
  <si>
    <t xml:space="preserve">PAR-140</t>
  </si>
  <si>
    <t xml:space="preserve">Technical Debt: Code Review</t>
  </si>
  <si>
    <t xml:space="preserve">PAR-141</t>
  </si>
  <si>
    <t xml:space="preserve">Technical Debt: Bug fixing</t>
  </si>
  <si>
    <t xml:space="preserve">PAR-142</t>
  </si>
  <si>
    <t xml:space="preserve">Technical Debt: Refactoring</t>
  </si>
  <si>
    <t xml:space="preserve">PAR-143</t>
  </si>
  <si>
    <t xml:space="preserve">CI-CD pipeline setup</t>
  </si>
  <si>
    <t xml:space="preserve">PAR-144</t>
  </si>
  <si>
    <t xml:space="preserve">DB config</t>
  </si>
  <si>
    <t xml:space="preserve">PAR-145</t>
  </si>
  <si>
    <t xml:space="preserve">Router Management</t>
  </si>
  <si>
    <t xml:space="preserve">PAR-146</t>
  </si>
  <si>
    <t xml:space="preserve">Controller Management</t>
  </si>
  <si>
    <t xml:space="preserve">PAR-147</t>
  </si>
  <si>
    <t xml:space="preserve">UI Implementation</t>
  </si>
  <si>
    <t xml:space="preserve">PAR-148</t>
  </si>
  <si>
    <t xml:space="preserve">E2E testing</t>
  </si>
  <si>
    <t xml:space="preserve">PAR-149</t>
  </si>
  <si>
    <t xml:space="preserve">Integration testing</t>
  </si>
  <si>
    <t xml:space="preserve">PAR-150</t>
  </si>
  <si>
    <t xml:space="preserve">Unit testing</t>
  </si>
  <si>
    <t xml:space="preserve">PAR-151</t>
  </si>
  <si>
    <t xml:space="preserve">PAR-152</t>
  </si>
  <si>
    <t xml:space="preserve">PAR-153</t>
  </si>
  <si>
    <t xml:space="preserve">PAR-154</t>
  </si>
  <si>
    <t xml:space="preserve">PAR-155</t>
  </si>
  <si>
    <t xml:space="preserve">PAR-156</t>
  </si>
  <si>
    <t xml:space="preserve">PAR-157</t>
  </si>
  <si>
    <t xml:space="preserve">PAR-158</t>
  </si>
  <si>
    <t xml:space="preserve">PAR-159</t>
  </si>
  <si>
    <t xml:space="preserve">PAR-160</t>
  </si>
  <si>
    <t xml:space="preserve">Socket API Documentation</t>
  </si>
  <si>
    <t xml:space="preserve">PAR-161</t>
  </si>
  <si>
    <t xml:space="preserve">Socket API Implementation</t>
  </si>
  <si>
    <t xml:space="preserve">PAR-162</t>
  </si>
  <si>
    <t xml:space="preserve">PAR-163</t>
  </si>
  <si>
    <t xml:space="preserve">PAR-164</t>
  </si>
  <si>
    <t xml:space="preserve">PAR-165</t>
  </si>
  <si>
    <t xml:space="preserve">PAR-166</t>
  </si>
  <si>
    <t xml:space="preserve">PAR-167</t>
  </si>
  <si>
    <t xml:space="preserve">SMTP config</t>
  </si>
  <si>
    <t xml:space="preserve">PAR-168</t>
  </si>
  <si>
    <t xml:space="preserve">PAR-169</t>
  </si>
  <si>
    <t xml:space="preserve">PAR-170</t>
  </si>
  <si>
    <t xml:space="preserve">PAR-171</t>
  </si>
  <si>
    <t xml:space="preserve">PAR-172</t>
  </si>
  <si>
    <t xml:space="preserve">PAR-173</t>
  </si>
  <si>
    <t xml:space="preserve">PAR-174</t>
  </si>
  <si>
    <t xml:space="preserve">ENUM modification + update documentation</t>
  </si>
  <si>
    <t xml:space="preserve">PAR-175</t>
  </si>
  <si>
    <t xml:space="preserve">PAR-176</t>
  </si>
  <si>
    <t xml:space="preserve">PAR-177</t>
  </si>
  <si>
    <t xml:space="preserve">PAR-178</t>
  </si>
  <si>
    <t xml:space="preserve">PAR-179</t>
  </si>
  <si>
    <t xml:space="preserve">PAR-180</t>
  </si>
  <si>
    <t xml:space="preserve">PAR-181</t>
  </si>
  <si>
    <t xml:space="preserve">mean</t>
  </si>
  <si>
    <t xml:space="preserve">StDev</t>
  </si>
  <si>
    <t xml:space="preserve">n</t>
  </si>
  <si>
    <t xml:space="preserve">TotalEsitmation Error Ratio</t>
  </si>
  <si>
    <t xml:space="preserve">Absolute relative Task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</si>
</sst>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true" showOutlineSymbols="true" defaultGridColor="true" view="normal" topLeftCell="C22" colorId="64" zoomScale="100" zoomScaleNormal="100" zoomScalePageLayoutView="100" workbookViewId="0">
      <selection pane="topLeft" activeCell="D64" activeCellId="0" sqref="D6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8.8"/>
    <col collapsed="false" customWidth="true" hidden="false" outlineLevel="0" max="3" min="3" style="0" width="53.32"/>
    <col collapsed="false" customWidth="true" hidden="false" outlineLevel="0" max="4" min="4" style="0" width="14.23"/>
    <col collapsed="false" customWidth="true" hidden="false" outlineLevel="0" max="5" min="5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30</v>
      </c>
      <c r="E2" s="0" t="n">
        <v>30</v>
      </c>
      <c r="F2" s="0" t="n">
        <f aca="false">ABS(E2/D2 -1)</f>
        <v>0</v>
      </c>
    </row>
    <row r="3" customFormat="false" ht="12.8" hidden="false" customHeight="false" outlineLevel="0" collapsed="false">
      <c r="A3" s="0" t="s">
        <v>6</v>
      </c>
      <c r="B3" s="0" t="s">
        <v>9</v>
      </c>
      <c r="C3" s="0" t="s">
        <v>10</v>
      </c>
      <c r="D3" s="0" t="n">
        <v>90</v>
      </c>
      <c r="E3" s="0" t="n">
        <v>150</v>
      </c>
      <c r="F3" s="0" t="n">
        <f aca="false">ABS(E3/D3 -1)</f>
        <v>0.666666666666667</v>
      </c>
    </row>
    <row r="4" customFormat="false" ht="12.8" hidden="false" customHeight="false" outlineLevel="0" collapsed="false">
      <c r="A4" s="0" t="s">
        <v>6</v>
      </c>
      <c r="B4" s="0" t="s">
        <v>11</v>
      </c>
      <c r="C4" s="0" t="s">
        <v>12</v>
      </c>
      <c r="D4" s="0" t="n">
        <v>30</v>
      </c>
      <c r="E4" s="0" t="n">
        <v>30</v>
      </c>
      <c r="F4" s="0" t="n">
        <f aca="false">ABS(E4/D4 -1)</f>
        <v>0</v>
      </c>
    </row>
    <row r="5" customFormat="false" ht="12.8" hidden="false" customHeight="false" outlineLevel="0" collapsed="false">
      <c r="A5" s="0" t="s">
        <v>6</v>
      </c>
      <c r="B5" s="0" t="s">
        <v>13</v>
      </c>
      <c r="C5" s="0" t="s">
        <v>14</v>
      </c>
      <c r="D5" s="0" t="n">
        <v>720</v>
      </c>
      <c r="E5" s="0" t="n">
        <v>720</v>
      </c>
      <c r="F5" s="0" t="n">
        <f aca="false">ABS(E5/D5 -1)</f>
        <v>0</v>
      </c>
    </row>
    <row r="6" customFormat="false" ht="12.8" hidden="false" customHeight="false" outlineLevel="0" collapsed="false">
      <c r="A6" s="0" t="s">
        <v>6</v>
      </c>
      <c r="B6" s="0" t="s">
        <v>15</v>
      </c>
      <c r="C6" s="0" t="s">
        <v>16</v>
      </c>
      <c r="D6" s="0" t="n">
        <v>30</v>
      </c>
      <c r="E6" s="0" t="n">
        <v>30</v>
      </c>
      <c r="F6" s="0" t="n">
        <f aca="false">ABS(E6/D6 -1)</f>
        <v>0</v>
      </c>
    </row>
    <row r="7" customFormat="false" ht="12.8" hidden="false" customHeight="false" outlineLevel="0" collapsed="false">
      <c r="A7" s="0" t="s">
        <v>6</v>
      </c>
      <c r="B7" s="0" t="s">
        <v>17</v>
      </c>
      <c r="C7" s="0" t="s">
        <v>18</v>
      </c>
      <c r="D7" s="0" t="n">
        <v>30</v>
      </c>
      <c r="E7" s="0" t="n">
        <v>30</v>
      </c>
      <c r="F7" s="0" t="n">
        <f aca="false">ABS(E7/D7 -1)</f>
        <v>0</v>
      </c>
    </row>
    <row r="8" customFormat="false" ht="12.8" hidden="false" customHeight="false" outlineLevel="0" collapsed="false">
      <c r="A8" s="0" t="s">
        <v>6</v>
      </c>
      <c r="B8" s="0" t="s">
        <v>19</v>
      </c>
      <c r="C8" s="0" t="s">
        <v>20</v>
      </c>
      <c r="D8" s="0" t="n">
        <v>90</v>
      </c>
      <c r="E8" s="0" t="n">
        <v>90</v>
      </c>
      <c r="F8" s="0" t="n">
        <f aca="false">ABS(E8/D8 -1)</f>
        <v>0</v>
      </c>
    </row>
    <row r="9" customFormat="false" ht="12.8" hidden="false" customHeight="false" outlineLevel="0" collapsed="false">
      <c r="A9" s="0" t="s">
        <v>6</v>
      </c>
      <c r="B9" s="0" t="s">
        <v>21</v>
      </c>
      <c r="C9" s="0" t="s">
        <v>22</v>
      </c>
      <c r="D9" s="0" t="n">
        <v>90</v>
      </c>
      <c r="E9" s="0" t="n">
        <v>90</v>
      </c>
      <c r="F9" s="0" t="n">
        <f aca="false">ABS(E9/D9 -1)</f>
        <v>0</v>
      </c>
    </row>
    <row r="10" customFormat="false" ht="12.8" hidden="false" customHeight="false" outlineLevel="0" collapsed="false">
      <c r="A10" s="0" t="s">
        <v>6</v>
      </c>
      <c r="B10" s="0" t="s">
        <v>23</v>
      </c>
      <c r="C10" s="0" t="s">
        <v>24</v>
      </c>
      <c r="D10" s="0" t="n">
        <v>90</v>
      </c>
      <c r="E10" s="0" t="n">
        <v>90</v>
      </c>
      <c r="F10" s="0" t="n">
        <f aca="false">ABS(E10/D10 -1)</f>
        <v>0</v>
      </c>
    </row>
    <row r="11" customFormat="false" ht="12.8" hidden="false" customHeight="false" outlineLevel="0" collapsed="false">
      <c r="A11" s="0" t="s">
        <v>6</v>
      </c>
      <c r="B11" s="0" t="s">
        <v>25</v>
      </c>
      <c r="C11" s="0" t="s">
        <v>26</v>
      </c>
      <c r="D11" s="0" t="n">
        <v>90</v>
      </c>
      <c r="E11" s="0" t="n">
        <v>75</v>
      </c>
      <c r="F11" s="0" t="n">
        <f aca="false">ABS(E11/D11 -1)</f>
        <v>0.166666666666667</v>
      </c>
    </row>
    <row r="12" customFormat="false" ht="12.8" hidden="false" customHeight="false" outlineLevel="0" collapsed="false">
      <c r="A12" s="0" t="s">
        <v>6</v>
      </c>
      <c r="B12" s="0" t="s">
        <v>27</v>
      </c>
      <c r="C12" s="0" t="s">
        <v>28</v>
      </c>
      <c r="D12" s="0" t="n">
        <v>435</v>
      </c>
      <c r="E12" s="0" t="n">
        <v>435</v>
      </c>
      <c r="F12" s="0" t="n">
        <f aca="false">ABS(E12/D12 -1)</f>
        <v>0</v>
      </c>
    </row>
    <row r="13" customFormat="false" ht="12.8" hidden="false" customHeight="false" outlineLevel="0" collapsed="false">
      <c r="A13" s="0" t="s">
        <v>6</v>
      </c>
      <c r="B13" s="0" t="s">
        <v>29</v>
      </c>
      <c r="C13" s="0" t="s">
        <v>30</v>
      </c>
      <c r="D13" s="0" t="n">
        <v>360</v>
      </c>
      <c r="E13" s="0" t="n">
        <v>280</v>
      </c>
      <c r="F13" s="0" t="n">
        <f aca="false">ABS(E13/D13 -1)</f>
        <v>0.222222222222222</v>
      </c>
    </row>
    <row r="14" customFormat="false" ht="12.8" hidden="false" customHeight="false" outlineLevel="0" collapsed="false">
      <c r="A14" s="0" t="s">
        <v>6</v>
      </c>
      <c r="B14" s="0" t="s">
        <v>31</v>
      </c>
      <c r="C14" s="0" t="s">
        <v>32</v>
      </c>
      <c r="D14" s="0" t="n">
        <v>300</v>
      </c>
      <c r="E14" s="0" t="n">
        <v>300</v>
      </c>
      <c r="F14" s="0" t="n">
        <f aca="false">ABS(E14/D14 -1)</f>
        <v>0</v>
      </c>
    </row>
    <row r="15" customFormat="false" ht="12.8" hidden="false" customHeight="false" outlineLevel="0" collapsed="false">
      <c r="A15" s="0" t="s">
        <v>6</v>
      </c>
      <c r="B15" s="0" t="s">
        <v>33</v>
      </c>
      <c r="C15" s="0" t="s">
        <v>34</v>
      </c>
      <c r="D15" s="0" t="n">
        <v>300</v>
      </c>
      <c r="E15" s="0" t="n">
        <v>360</v>
      </c>
      <c r="F15" s="0" t="n">
        <f aca="false">ABS(E15/D15 -1)</f>
        <v>0.2</v>
      </c>
    </row>
    <row r="16" customFormat="false" ht="12.8" hidden="false" customHeight="false" outlineLevel="0" collapsed="false">
      <c r="A16" s="0" t="s">
        <v>6</v>
      </c>
      <c r="B16" s="0" t="s">
        <v>35</v>
      </c>
      <c r="C16" s="0" t="s">
        <v>36</v>
      </c>
      <c r="D16" s="0" t="n">
        <v>300</v>
      </c>
      <c r="E16" s="0" t="n">
        <v>270</v>
      </c>
      <c r="F16" s="0" t="n">
        <f aca="false">ABS(E16/D16 -1)</f>
        <v>0.1</v>
      </c>
    </row>
    <row r="17" customFormat="false" ht="12.8" hidden="false" customHeight="false" outlineLevel="0" collapsed="false">
      <c r="A17" s="0" t="s">
        <v>6</v>
      </c>
      <c r="B17" s="0" t="s">
        <v>37</v>
      </c>
      <c r="C17" s="0" t="s">
        <v>38</v>
      </c>
      <c r="D17" s="0" t="n">
        <v>120</v>
      </c>
      <c r="E17" s="0" t="n">
        <v>150</v>
      </c>
      <c r="F17" s="0" t="n">
        <f aca="false">ABS(E17/D17 -1)</f>
        <v>0.25</v>
      </c>
    </row>
    <row r="18" customFormat="false" ht="12.8" hidden="false" customHeight="false" outlineLevel="0" collapsed="false">
      <c r="A18" s="0" t="s">
        <v>6</v>
      </c>
      <c r="B18" s="0" t="s">
        <v>39</v>
      </c>
      <c r="C18" s="0" t="s">
        <v>40</v>
      </c>
      <c r="D18" s="0" t="n">
        <v>60</v>
      </c>
      <c r="E18" s="0" t="n">
        <v>60</v>
      </c>
      <c r="F18" s="0" t="n">
        <f aca="false">ABS(E18/D18 -1)</f>
        <v>0</v>
      </c>
    </row>
    <row r="19" customFormat="false" ht="12.8" hidden="false" customHeight="false" outlineLevel="0" collapsed="false">
      <c r="A19" s="0" t="s">
        <v>6</v>
      </c>
      <c r="B19" s="0" t="s">
        <v>41</v>
      </c>
      <c r="C19" s="0" t="s">
        <v>42</v>
      </c>
      <c r="D19" s="0" t="n">
        <v>60</v>
      </c>
      <c r="E19" s="0" t="n">
        <v>60</v>
      </c>
      <c r="F19" s="0" t="n">
        <f aca="false">ABS(E19/D19 -1)</f>
        <v>0</v>
      </c>
    </row>
    <row r="20" customFormat="false" ht="12.8" hidden="false" customHeight="false" outlineLevel="0" collapsed="false">
      <c r="A20" s="0" t="s">
        <v>6</v>
      </c>
      <c r="B20" s="0" t="s">
        <v>43</v>
      </c>
      <c r="C20" s="0" t="s">
        <v>44</v>
      </c>
      <c r="D20" s="0" t="n">
        <v>60</v>
      </c>
      <c r="E20" s="0" t="n">
        <v>60</v>
      </c>
      <c r="F20" s="0" t="n">
        <f aca="false">ABS(E20/D20 -1)</f>
        <v>0</v>
      </c>
    </row>
    <row r="21" customFormat="false" ht="12.8" hidden="false" customHeight="false" outlineLevel="0" collapsed="false">
      <c r="A21" s="0" t="s">
        <v>6</v>
      </c>
      <c r="B21" s="0" t="s">
        <v>45</v>
      </c>
      <c r="C21" s="0" t="s">
        <v>46</v>
      </c>
      <c r="D21" s="0" t="n">
        <v>90</v>
      </c>
      <c r="E21" s="0" t="n">
        <v>90</v>
      </c>
      <c r="F21" s="0" t="n">
        <f aca="false">ABS(E21/D21 -1)</f>
        <v>0</v>
      </c>
    </row>
    <row r="22" customFormat="false" ht="12.8" hidden="false" customHeight="false" outlineLevel="0" collapsed="false">
      <c r="A22" s="0" t="s">
        <v>6</v>
      </c>
      <c r="B22" s="0" t="s">
        <v>47</v>
      </c>
      <c r="C22" s="0" t="s">
        <v>48</v>
      </c>
      <c r="D22" s="0" t="n">
        <v>30</v>
      </c>
      <c r="E22" s="0" t="n">
        <v>30</v>
      </c>
      <c r="F22" s="0" t="n">
        <f aca="false">ABS(E22/D22 -1)</f>
        <v>0</v>
      </c>
    </row>
    <row r="23" customFormat="false" ht="12.8" hidden="false" customHeight="false" outlineLevel="0" collapsed="false">
      <c r="A23" s="0" t="s">
        <v>6</v>
      </c>
      <c r="B23" s="0" t="s">
        <v>49</v>
      </c>
      <c r="C23" s="0" t="s">
        <v>50</v>
      </c>
      <c r="D23" s="0" t="n">
        <v>60</v>
      </c>
      <c r="E23" s="0" t="n">
        <v>60</v>
      </c>
      <c r="F23" s="0" t="n">
        <f aca="false">ABS(E23/D23 -1)</f>
        <v>0</v>
      </c>
    </row>
    <row r="24" customFormat="false" ht="12.8" hidden="false" customHeight="false" outlineLevel="0" collapsed="false">
      <c r="A24" s="0" t="s">
        <v>6</v>
      </c>
      <c r="B24" s="0" t="s">
        <v>51</v>
      </c>
      <c r="C24" s="0" t="s">
        <v>52</v>
      </c>
      <c r="D24" s="0" t="n">
        <v>60</v>
      </c>
      <c r="E24" s="0" t="n">
        <v>60</v>
      </c>
      <c r="F24" s="0" t="n">
        <f aca="false">ABS(E24/D24 -1)</f>
        <v>0</v>
      </c>
    </row>
    <row r="25" customFormat="false" ht="12.8" hidden="false" customHeight="false" outlineLevel="0" collapsed="false">
      <c r="A25" s="0" t="s">
        <v>6</v>
      </c>
      <c r="B25" s="0" t="s">
        <v>53</v>
      </c>
      <c r="C25" s="0" t="s">
        <v>42</v>
      </c>
      <c r="D25" s="0" t="n">
        <v>90</v>
      </c>
      <c r="E25" s="0" t="n">
        <v>90</v>
      </c>
      <c r="F25" s="0" t="n">
        <f aca="false">ABS(E25/D25 -1)</f>
        <v>0</v>
      </c>
    </row>
    <row r="26" customFormat="false" ht="12.8" hidden="false" customHeight="false" outlineLevel="0" collapsed="false">
      <c r="A26" s="0" t="s">
        <v>6</v>
      </c>
      <c r="B26" s="0" t="s">
        <v>54</v>
      </c>
      <c r="C26" s="0" t="s">
        <v>44</v>
      </c>
      <c r="D26" s="0" t="n">
        <v>60</v>
      </c>
      <c r="E26" s="0" t="n">
        <v>60</v>
      </c>
      <c r="F26" s="0" t="n">
        <f aca="false">ABS(E26/D26 -1)</f>
        <v>0</v>
      </c>
    </row>
    <row r="27" customFormat="false" ht="12.8" hidden="false" customHeight="false" outlineLevel="0" collapsed="false">
      <c r="A27" s="0" t="s">
        <v>6</v>
      </c>
      <c r="B27" s="0" t="s">
        <v>55</v>
      </c>
      <c r="C27" s="0" t="s">
        <v>46</v>
      </c>
      <c r="D27" s="0" t="n">
        <v>30</v>
      </c>
      <c r="E27" s="0" t="n">
        <v>30</v>
      </c>
      <c r="F27" s="0" t="n">
        <f aca="false">ABS(E27/D27 -1)</f>
        <v>0</v>
      </c>
    </row>
    <row r="28" customFormat="false" ht="12.8" hidden="false" customHeight="false" outlineLevel="0" collapsed="false">
      <c r="A28" s="0" t="s">
        <v>6</v>
      </c>
      <c r="B28" s="0" t="s">
        <v>56</v>
      </c>
      <c r="C28" s="0" t="s">
        <v>50</v>
      </c>
      <c r="D28" s="0" t="n">
        <v>60</v>
      </c>
      <c r="E28" s="0" t="n">
        <v>60</v>
      </c>
      <c r="F28" s="0" t="n">
        <f aca="false">ABS(E28/D28 -1)</f>
        <v>0</v>
      </c>
    </row>
    <row r="29" customFormat="false" ht="12.8" hidden="false" customHeight="false" outlineLevel="0" collapsed="false">
      <c r="A29" s="0" t="s">
        <v>6</v>
      </c>
      <c r="B29" s="0" t="s">
        <v>57</v>
      </c>
      <c r="C29" s="0" t="s">
        <v>52</v>
      </c>
      <c r="D29" s="0" t="n">
        <v>45</v>
      </c>
      <c r="E29" s="0" t="n">
        <v>45</v>
      </c>
      <c r="F29" s="0" t="n">
        <f aca="false">ABS(E29/D29 -1)</f>
        <v>0</v>
      </c>
    </row>
    <row r="30" customFormat="false" ht="12.8" hidden="false" customHeight="false" outlineLevel="0" collapsed="false">
      <c r="A30" s="0" t="s">
        <v>6</v>
      </c>
      <c r="B30" s="0" t="s">
        <v>58</v>
      </c>
      <c r="C30" s="0" t="s">
        <v>48</v>
      </c>
      <c r="D30" s="0" t="n">
        <v>30</v>
      </c>
      <c r="E30" s="0" t="n">
        <v>30</v>
      </c>
      <c r="F30" s="0" t="n">
        <f aca="false">ABS(E30/D30 -1)</f>
        <v>0</v>
      </c>
    </row>
    <row r="31" customFormat="false" ht="12.8" hidden="false" customHeight="false" outlineLevel="0" collapsed="false">
      <c r="A31" s="0" t="s">
        <v>6</v>
      </c>
      <c r="B31" s="0" t="s">
        <v>59</v>
      </c>
      <c r="C31" s="0" t="s">
        <v>40</v>
      </c>
      <c r="D31" s="0" t="n">
        <v>120</v>
      </c>
      <c r="E31" s="0" t="n">
        <v>90</v>
      </c>
      <c r="F31" s="0" t="n">
        <f aca="false">ABS(E31/D31 -1)</f>
        <v>0.25</v>
      </c>
    </row>
    <row r="32" customFormat="false" ht="12.8" hidden="false" customHeight="false" outlineLevel="0" collapsed="false">
      <c r="A32" s="0" t="s">
        <v>6</v>
      </c>
      <c r="B32" s="0" t="s">
        <v>60</v>
      </c>
      <c r="C32" s="0" t="s">
        <v>42</v>
      </c>
      <c r="D32" s="0" t="n">
        <v>60</v>
      </c>
      <c r="E32" s="0" t="n">
        <v>50</v>
      </c>
      <c r="F32" s="0" t="n">
        <f aca="false">ABS(E32/D32 -1)</f>
        <v>0.166666666666667</v>
      </c>
    </row>
    <row r="33" customFormat="false" ht="12.8" hidden="false" customHeight="false" outlineLevel="0" collapsed="false">
      <c r="A33" s="0" t="s">
        <v>6</v>
      </c>
      <c r="B33" s="0" t="s">
        <v>61</v>
      </c>
      <c r="C33" s="0" t="s">
        <v>44</v>
      </c>
      <c r="D33" s="0" t="n">
        <v>60</v>
      </c>
      <c r="E33" s="0" t="n">
        <v>60</v>
      </c>
      <c r="F33" s="0" t="n">
        <f aca="false">ABS(E33/D33 -1)</f>
        <v>0</v>
      </c>
    </row>
    <row r="34" customFormat="false" ht="12.8" hidden="false" customHeight="false" outlineLevel="0" collapsed="false">
      <c r="A34" s="0" t="s">
        <v>6</v>
      </c>
      <c r="B34" s="0" t="s">
        <v>62</v>
      </c>
      <c r="C34" s="0" t="s">
        <v>63</v>
      </c>
      <c r="D34" s="0" t="n">
        <v>120</v>
      </c>
      <c r="E34" s="0" t="n">
        <v>40</v>
      </c>
      <c r="F34" s="0" t="n">
        <f aca="false">ABS(E34/D34 -1)</f>
        <v>0.666666666666667</v>
      </c>
    </row>
    <row r="35" customFormat="false" ht="12.8" hidden="false" customHeight="false" outlineLevel="0" collapsed="false">
      <c r="A35" s="0" t="s">
        <v>6</v>
      </c>
      <c r="B35" s="0" t="s">
        <v>64</v>
      </c>
      <c r="C35" s="0" t="s">
        <v>65</v>
      </c>
      <c r="D35" s="0" t="n">
        <v>240</v>
      </c>
      <c r="E35" s="0" t="n">
        <v>60</v>
      </c>
      <c r="F35" s="0" t="n">
        <f aca="false">ABS(E35/D35 -1)</f>
        <v>0.75</v>
      </c>
    </row>
    <row r="36" customFormat="false" ht="12.8" hidden="false" customHeight="false" outlineLevel="0" collapsed="false">
      <c r="A36" s="0" t="s">
        <v>6</v>
      </c>
      <c r="B36" s="0" t="s">
        <v>66</v>
      </c>
      <c r="C36" s="0" t="s">
        <v>46</v>
      </c>
      <c r="D36" s="0" t="n">
        <v>120</v>
      </c>
      <c r="E36" s="0" t="n">
        <v>240</v>
      </c>
      <c r="F36" s="0" t="n">
        <f aca="false">ABS(E36/D36 -1)</f>
        <v>1</v>
      </c>
    </row>
    <row r="37" customFormat="false" ht="12.8" hidden="false" customHeight="false" outlineLevel="0" collapsed="false">
      <c r="A37" s="0" t="s">
        <v>6</v>
      </c>
      <c r="B37" s="0" t="s">
        <v>67</v>
      </c>
      <c r="C37" s="0" t="s">
        <v>48</v>
      </c>
      <c r="D37" s="0" t="n">
        <v>60</v>
      </c>
      <c r="E37" s="0" t="n">
        <v>60</v>
      </c>
      <c r="F37" s="0" t="n">
        <f aca="false">ABS(E37/D37 -1)</f>
        <v>0</v>
      </c>
    </row>
    <row r="38" customFormat="false" ht="12.8" hidden="false" customHeight="false" outlineLevel="0" collapsed="false">
      <c r="A38" s="0" t="s">
        <v>6</v>
      </c>
      <c r="B38" s="0" t="s">
        <v>68</v>
      </c>
      <c r="C38" s="0" t="s">
        <v>50</v>
      </c>
      <c r="D38" s="0" t="n">
        <v>90</v>
      </c>
      <c r="E38" s="0" t="n">
        <v>90</v>
      </c>
      <c r="F38" s="0" t="n">
        <f aca="false">ABS(E38/D38 -1)</f>
        <v>0</v>
      </c>
    </row>
    <row r="39" customFormat="false" ht="12.8" hidden="false" customHeight="false" outlineLevel="0" collapsed="false">
      <c r="A39" s="0" t="s">
        <v>6</v>
      </c>
      <c r="B39" s="0" t="s">
        <v>69</v>
      </c>
      <c r="C39" s="0" t="s">
        <v>52</v>
      </c>
      <c r="D39" s="0" t="n">
        <v>60</v>
      </c>
      <c r="E39" s="0" t="n">
        <v>60</v>
      </c>
      <c r="F39" s="0" t="n">
        <f aca="false">ABS(E39/D39 -1)</f>
        <v>0</v>
      </c>
    </row>
    <row r="40" customFormat="false" ht="12.8" hidden="false" customHeight="false" outlineLevel="0" collapsed="false">
      <c r="A40" s="0" t="s">
        <v>6</v>
      </c>
      <c r="B40" s="0" t="s">
        <v>70</v>
      </c>
      <c r="C40" s="0" t="s">
        <v>40</v>
      </c>
      <c r="D40" s="0" t="n">
        <v>60</v>
      </c>
      <c r="E40" s="0" t="n">
        <v>60</v>
      </c>
      <c r="F40" s="0" t="n">
        <f aca="false">ABS(E40/D40 -1)</f>
        <v>0</v>
      </c>
    </row>
    <row r="41" customFormat="false" ht="12.8" hidden="false" customHeight="false" outlineLevel="0" collapsed="false">
      <c r="A41" s="0" t="s">
        <v>6</v>
      </c>
      <c r="B41" s="0" t="s">
        <v>71</v>
      </c>
      <c r="C41" s="0" t="s">
        <v>72</v>
      </c>
      <c r="D41" s="0" t="n">
        <v>30</v>
      </c>
      <c r="E41" s="0" t="n">
        <v>30</v>
      </c>
      <c r="F41" s="0" t="n">
        <f aca="false">ABS(E41/D41 -1)</f>
        <v>0</v>
      </c>
    </row>
    <row r="42" customFormat="false" ht="12.8" hidden="false" customHeight="false" outlineLevel="0" collapsed="false">
      <c r="A42" s="0" t="s">
        <v>6</v>
      </c>
      <c r="B42" s="0" t="s">
        <v>73</v>
      </c>
      <c r="C42" s="0" t="s">
        <v>42</v>
      </c>
      <c r="D42" s="0" t="n">
        <v>60</v>
      </c>
      <c r="E42" s="0" t="n">
        <v>60</v>
      </c>
      <c r="F42" s="0" t="n">
        <f aca="false">ABS(E42/D42 -1)</f>
        <v>0</v>
      </c>
    </row>
    <row r="43" customFormat="false" ht="12.8" hidden="false" customHeight="false" outlineLevel="0" collapsed="false">
      <c r="A43" s="0" t="s">
        <v>6</v>
      </c>
      <c r="B43" s="0" t="s">
        <v>74</v>
      </c>
      <c r="C43" s="0" t="s">
        <v>44</v>
      </c>
      <c r="D43" s="0" t="n">
        <v>30</v>
      </c>
      <c r="E43" s="0" t="n">
        <v>30</v>
      </c>
      <c r="F43" s="0" t="n">
        <f aca="false">ABS(E43/D43 -1)</f>
        <v>0</v>
      </c>
    </row>
    <row r="44" customFormat="false" ht="12.8" hidden="false" customHeight="false" outlineLevel="0" collapsed="false">
      <c r="A44" s="0" t="s">
        <v>6</v>
      </c>
      <c r="B44" s="0" t="s">
        <v>75</v>
      </c>
      <c r="C44" s="0" t="s">
        <v>46</v>
      </c>
      <c r="D44" s="0" t="n">
        <v>90</v>
      </c>
      <c r="E44" s="0" t="n">
        <v>90</v>
      </c>
      <c r="F44" s="0" t="n">
        <f aca="false">ABS(E44/D44 -1)</f>
        <v>0</v>
      </c>
    </row>
    <row r="45" customFormat="false" ht="12.8" hidden="false" customHeight="false" outlineLevel="0" collapsed="false">
      <c r="A45" s="0" t="s">
        <v>6</v>
      </c>
      <c r="B45" s="0" t="s">
        <v>76</v>
      </c>
      <c r="C45" s="0" t="s">
        <v>48</v>
      </c>
      <c r="D45" s="0" t="n">
        <v>60</v>
      </c>
      <c r="E45" s="0" t="n">
        <v>60</v>
      </c>
      <c r="F45" s="0" t="n">
        <f aca="false">ABS(E45/D45 -1)</f>
        <v>0</v>
      </c>
    </row>
    <row r="46" customFormat="false" ht="12.8" hidden="false" customHeight="false" outlineLevel="0" collapsed="false">
      <c r="A46" s="0" t="s">
        <v>6</v>
      </c>
      <c r="B46" s="0" t="s">
        <v>77</v>
      </c>
      <c r="C46" s="0" t="s">
        <v>50</v>
      </c>
      <c r="D46" s="0" t="n">
        <v>90</v>
      </c>
      <c r="E46" s="0" t="n">
        <v>85</v>
      </c>
      <c r="F46" s="0" t="n">
        <f aca="false">ABS(E46/D46 -1)</f>
        <v>0.0555555555555556</v>
      </c>
    </row>
    <row r="47" customFormat="false" ht="12.8" hidden="false" customHeight="false" outlineLevel="0" collapsed="false">
      <c r="A47" s="0" t="s">
        <v>6</v>
      </c>
      <c r="B47" s="0" t="s">
        <v>78</v>
      </c>
      <c r="C47" s="0" t="s">
        <v>52</v>
      </c>
      <c r="D47" s="0" t="n">
        <v>60</v>
      </c>
      <c r="E47" s="0" t="n">
        <v>60</v>
      </c>
      <c r="F47" s="0" t="n">
        <f aca="false">ABS(E47/D47 -1)</f>
        <v>0</v>
      </c>
    </row>
    <row r="48" customFormat="false" ht="12.8" hidden="false" customHeight="false" outlineLevel="0" collapsed="false">
      <c r="A48" s="0" t="s">
        <v>6</v>
      </c>
      <c r="B48" s="0" t="s">
        <v>79</v>
      </c>
      <c r="C48" s="0" t="s">
        <v>80</v>
      </c>
      <c r="D48" s="0" t="n">
        <v>30</v>
      </c>
      <c r="E48" s="0" t="n">
        <v>60</v>
      </c>
      <c r="F48" s="0" t="n">
        <f aca="false">ABS(E48/D48 -1)</f>
        <v>1</v>
      </c>
    </row>
    <row r="49" customFormat="false" ht="12.8" hidden="false" customHeight="false" outlineLevel="0" collapsed="false">
      <c r="A49" s="0" t="s">
        <v>6</v>
      </c>
      <c r="B49" s="0" t="s">
        <v>81</v>
      </c>
      <c r="C49" s="0" t="s">
        <v>42</v>
      </c>
      <c r="D49" s="0" t="n">
        <v>60</v>
      </c>
      <c r="E49" s="0" t="n">
        <v>60</v>
      </c>
      <c r="F49" s="0" t="n">
        <f aca="false">ABS(E49/D49 -1)</f>
        <v>0</v>
      </c>
    </row>
    <row r="50" customFormat="false" ht="12.8" hidden="false" customHeight="false" outlineLevel="0" collapsed="false">
      <c r="A50" s="0" t="s">
        <v>6</v>
      </c>
      <c r="B50" s="0" t="s">
        <v>82</v>
      </c>
      <c r="C50" s="0" t="s">
        <v>44</v>
      </c>
      <c r="D50" s="0" t="n">
        <v>90</v>
      </c>
      <c r="E50" s="0" t="n">
        <v>90</v>
      </c>
      <c r="F50" s="0" t="n">
        <f aca="false">ABS(E50/D50 -1)</f>
        <v>0</v>
      </c>
    </row>
    <row r="51" customFormat="false" ht="12.8" hidden="false" customHeight="false" outlineLevel="0" collapsed="false">
      <c r="A51" s="0" t="s">
        <v>6</v>
      </c>
      <c r="B51" s="0" t="s">
        <v>83</v>
      </c>
      <c r="C51" s="0" t="s">
        <v>40</v>
      </c>
      <c r="D51" s="0" t="n">
        <v>90</v>
      </c>
      <c r="E51" s="0" t="n">
        <v>90</v>
      </c>
      <c r="F51" s="0" t="n">
        <f aca="false">ABS(E51/D51 -1)</f>
        <v>0</v>
      </c>
    </row>
    <row r="52" customFormat="false" ht="12.8" hidden="false" customHeight="false" outlineLevel="0" collapsed="false">
      <c r="A52" s="0" t="s">
        <v>6</v>
      </c>
      <c r="B52" s="0" t="s">
        <v>84</v>
      </c>
      <c r="C52" s="0" t="s">
        <v>48</v>
      </c>
      <c r="D52" s="0" t="n">
        <v>30</v>
      </c>
      <c r="E52" s="0" t="n">
        <v>30</v>
      </c>
      <c r="F52" s="0" t="n">
        <f aca="false">ABS(E52/D52 -1)</f>
        <v>0</v>
      </c>
    </row>
    <row r="53" customFormat="false" ht="12.8" hidden="false" customHeight="false" outlineLevel="0" collapsed="false">
      <c r="A53" s="0" t="s">
        <v>6</v>
      </c>
      <c r="B53" s="0" t="s">
        <v>85</v>
      </c>
      <c r="C53" s="0" t="s">
        <v>50</v>
      </c>
      <c r="D53" s="0" t="n">
        <v>90</v>
      </c>
      <c r="E53" s="0" t="n">
        <v>90</v>
      </c>
      <c r="F53" s="0" t="n">
        <f aca="false">ABS(E53/D53 -1)</f>
        <v>0</v>
      </c>
    </row>
    <row r="54" customFormat="false" ht="12.8" hidden="false" customHeight="false" outlineLevel="0" collapsed="false">
      <c r="A54" s="0" t="s">
        <v>6</v>
      </c>
      <c r="B54" s="0" t="s">
        <v>86</v>
      </c>
      <c r="C54" s="0" t="s">
        <v>52</v>
      </c>
      <c r="D54" s="0" t="n">
        <v>90</v>
      </c>
      <c r="E54" s="0" t="n">
        <v>90</v>
      </c>
      <c r="F54" s="0" t="n">
        <f aca="false">ABS(E54/D54 -1)</f>
        <v>0</v>
      </c>
    </row>
    <row r="55" customFormat="false" ht="12.8" hidden="false" customHeight="false" outlineLevel="0" collapsed="false">
      <c r="A55" s="0" t="s">
        <v>6</v>
      </c>
      <c r="B55" s="0" t="s">
        <v>87</v>
      </c>
      <c r="C55" s="0" t="s">
        <v>46</v>
      </c>
      <c r="D55" s="0" t="n">
        <v>60</v>
      </c>
      <c r="E55" s="0" t="n">
        <v>120</v>
      </c>
      <c r="F55" s="0" t="n">
        <f aca="false">ABS(E55/D55 -1)</f>
        <v>1</v>
      </c>
    </row>
    <row r="57" customFormat="false" ht="12.8" hidden="false" customHeight="false" outlineLevel="0" collapsed="false">
      <c r="D57" s="0" t="s">
        <v>3</v>
      </c>
      <c r="E57" s="0" t="s">
        <v>4</v>
      </c>
    </row>
    <row r="58" customFormat="false" ht="12.8" hidden="false" customHeight="false" outlineLevel="0" collapsed="false">
      <c r="C58" s="0" t="s">
        <v>88</v>
      </c>
      <c r="D58" s="0" t="n">
        <f aca="false">AVERAGE(D2:D55)/60</f>
        <v>1.78703703703704</v>
      </c>
      <c r="E58" s="0" t="n">
        <f aca="false">AVERAGE(E2:E55)/60</f>
        <v>1.76543209876543</v>
      </c>
    </row>
    <row r="59" customFormat="false" ht="12.8" hidden="false" customHeight="false" outlineLevel="0" collapsed="false">
      <c r="C59" s="0" t="s">
        <v>89</v>
      </c>
      <c r="D59" s="0" t="n">
        <f aca="false">_xlfn.STDEV.P(D2:D55)/60</f>
        <v>2.01350038824011</v>
      </c>
      <c r="E59" s="0" t="n">
        <f aca="false">_xlfn.STDEV.P(E2:E55)/60</f>
        <v>1.99794609519348</v>
      </c>
    </row>
    <row r="61" customFormat="false" ht="12.8" hidden="false" customHeight="false" outlineLevel="0" collapsed="false">
      <c r="C61" s="0" t="s">
        <v>90</v>
      </c>
      <c r="D61" s="0" t="n">
        <f aca="false">COUNT(D2:D55)</f>
        <v>54</v>
      </c>
      <c r="E61" s="0" t="n">
        <f aca="false">COUNT(E2:E55)</f>
        <v>54</v>
      </c>
    </row>
    <row r="63" customFormat="false" ht="12.8" hidden="false" customHeight="false" outlineLevel="0" collapsed="false">
      <c r="C63" s="0" t="s">
        <v>91</v>
      </c>
      <c r="D63" s="0" t="n">
        <f aca="false">(SUM(E2:E55)/SUM(D2:D55)) -1</f>
        <v>-0.0120898100172712</v>
      </c>
    </row>
    <row r="64" customFormat="false" ht="12.8" hidden="false" customHeight="false" outlineLevel="0" collapsed="false">
      <c r="C64" s="0" t="s">
        <v>92</v>
      </c>
      <c r="D64" s="0" t="n">
        <f aca="false">SUM(F2:F55)/D61</f>
        <v>0.120267489711934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2026-01-08T17:16:00Z</dcterms:modified>
  <cp:revision>1</cp:revision>
  <dc:subject/>
  <dc:title/>
</cp:coreProperties>
</file>